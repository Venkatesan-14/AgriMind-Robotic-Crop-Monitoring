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c09b05740e9241/Desktop/GitHub/AgriMind-Robotic-Crop-Monitoring/hardware/BOM/"/>
    </mc:Choice>
  </mc:AlternateContent>
  <xr:revisionPtr revIDLastSave="0" documentId="8_{F8FDEC4F-5892-40DF-A18B-519BAFDAEFA1}" xr6:coauthVersionLast="47" xr6:coauthVersionMax="47" xr10:uidLastSave="{00000000-0000-0000-0000-000000000000}"/>
  <bookViews>
    <workbookView xWindow="-110" yWindow="-110" windowWidth="19420" windowHeight="10300" activeTab="1" xr2:uid="{4AF546E0-9B3B-4978-9C52-A7C91BD61D2E}"/>
  </bookViews>
  <sheets>
    <sheet name="Inventory" sheetId="1" r:id="rId1"/>
    <sheet name="Sheet1" sheetId="2" r:id="rId2"/>
  </sheets>
  <definedNames>
    <definedName name="_xlnm._FilterDatabase" localSheetId="0" hidden="1">Inventory!$A$1:$F$194</definedName>
    <definedName name="_xlnm._FilterDatabase" localSheetId="1" hidden="1">Sheet1!$A$1:$C$164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D2" i="1"/>
  <c r="D15" i="1"/>
  <c r="D16" i="1"/>
  <c r="D14" i="1"/>
  <c r="D25" i="1"/>
  <c r="D20" i="1"/>
  <c r="D10" i="1"/>
  <c r="D6" i="1"/>
  <c r="D21" i="1"/>
  <c r="D8" i="1"/>
  <c r="D22" i="1"/>
  <c r="D32" i="1"/>
  <c r="D27" i="1"/>
  <c r="D5" i="1"/>
  <c r="D17" i="1"/>
  <c r="D30" i="1"/>
  <c r="D19" i="1"/>
  <c r="D33" i="1"/>
  <c r="D31" i="1"/>
  <c r="D18" i="1"/>
  <c r="D11" i="1"/>
  <c r="D7" i="1"/>
  <c r="D13" i="1"/>
  <c r="D9" i="1"/>
  <c r="D43" i="1"/>
  <c r="D44" i="1"/>
  <c r="D42" i="1"/>
  <c r="D12" i="1"/>
  <c r="D29" i="1"/>
  <c r="D26" i="1"/>
  <c r="D23" i="1"/>
  <c r="D35" i="1"/>
  <c r="D34" i="1"/>
  <c r="D28" i="1"/>
  <c r="D3" i="1"/>
  <c r="D24" i="1"/>
  <c r="D36" i="1"/>
  <c r="D40" i="1"/>
  <c r="D41" i="1"/>
  <c r="D37" i="1"/>
  <c r="D39" i="1"/>
  <c r="D38" i="1"/>
  <c r="D4" i="1"/>
</calcChain>
</file>

<file path=xl/sharedStrings.xml><?xml version="1.0" encoding="utf-8"?>
<sst xmlns="http://schemas.openxmlformats.org/spreadsheetml/2006/main" count="176" uniqueCount="94">
  <si>
    <t>S.no</t>
  </si>
  <si>
    <t>Items</t>
  </si>
  <si>
    <t>esp32</t>
  </si>
  <si>
    <t>bmp280</t>
  </si>
  <si>
    <t>ph sensor and probe</t>
  </si>
  <si>
    <t>soil moisture sensor</t>
  </si>
  <si>
    <t>l298n motor driver</t>
  </si>
  <si>
    <t>battery</t>
  </si>
  <si>
    <t>mpu6050</t>
  </si>
  <si>
    <t>sim 800L</t>
  </si>
  <si>
    <t>ads1115</t>
  </si>
  <si>
    <t>bo motor</t>
  </si>
  <si>
    <t>limit switch</t>
  </si>
  <si>
    <t>wheels</t>
  </si>
  <si>
    <t>water pump</t>
  </si>
  <si>
    <t>level convertor MH</t>
  </si>
  <si>
    <t>IRFZ44N</t>
  </si>
  <si>
    <t>lm258p</t>
  </si>
  <si>
    <t>ne555 timer</t>
  </si>
  <si>
    <t>battery holder</t>
  </si>
  <si>
    <t>soldering iron</t>
  </si>
  <si>
    <t>12 dc adapter</t>
  </si>
  <si>
    <t>gps module</t>
  </si>
  <si>
    <t>oled siplay</t>
  </si>
  <si>
    <t>ss chassis</t>
  </si>
  <si>
    <t>in4007</t>
  </si>
  <si>
    <t>resistor</t>
  </si>
  <si>
    <t>jumper cables</t>
  </si>
  <si>
    <t>ph buffer</t>
  </si>
  <si>
    <t>capacitor 100uf</t>
  </si>
  <si>
    <t>threded rod</t>
  </si>
  <si>
    <t>AMS1117 3.3v</t>
  </si>
  <si>
    <t xml:space="preserve">Buck Convertor </t>
  </si>
  <si>
    <t xml:space="preserve">heat shrink tube </t>
  </si>
  <si>
    <t>Misccelaneous</t>
  </si>
  <si>
    <t>Used/Not Used</t>
  </si>
  <si>
    <t>Used</t>
  </si>
  <si>
    <t>PCB Board small</t>
  </si>
  <si>
    <t>pcb board large</t>
  </si>
  <si>
    <t>esp32 Camera module</t>
  </si>
  <si>
    <t>drv8833 motor driver</t>
  </si>
  <si>
    <t>male header</t>
  </si>
  <si>
    <t>2 pin jst connector</t>
  </si>
  <si>
    <t>4 pin jst connector</t>
  </si>
  <si>
    <t>female header</t>
  </si>
  <si>
    <t>male header L type</t>
  </si>
  <si>
    <t>Amount per qty</t>
  </si>
  <si>
    <t xml:space="preserve">battery charger </t>
  </si>
  <si>
    <t>Place of purchase</t>
  </si>
  <si>
    <t>Zbotic Online</t>
  </si>
  <si>
    <t>Ajanta Elctronics</t>
  </si>
  <si>
    <t>Mercy Electronics</t>
  </si>
  <si>
    <t>Amazon Online</t>
  </si>
  <si>
    <t>Ajanta Electronics</t>
  </si>
  <si>
    <t>Swastic Electronics online</t>
  </si>
  <si>
    <t>Qty</t>
  </si>
  <si>
    <t xml:space="preserve">Amount </t>
  </si>
  <si>
    <t>Total Amount of Used Items</t>
  </si>
  <si>
    <t>Total Amount of Unused Items</t>
  </si>
  <si>
    <t>Unused</t>
  </si>
  <si>
    <t xml:space="preserve">Total Amount </t>
  </si>
  <si>
    <t>2 pin terminal</t>
  </si>
  <si>
    <t>pH Sensor Module and pH Probe</t>
  </si>
  <si>
    <t>ESP-32 Microcontroller</t>
  </si>
  <si>
    <t>GPS Neo- 6M Module</t>
  </si>
  <si>
    <t>Stainless Steel Chasis</t>
  </si>
  <si>
    <t xml:space="preserve">Battery Charger </t>
  </si>
  <si>
    <t>OLed Display</t>
  </si>
  <si>
    <t>L298N Motor Driver</t>
  </si>
  <si>
    <t>Capacitive Soil Moisture Sensor Module</t>
  </si>
  <si>
    <t xml:space="preserve">3.7V Battery </t>
  </si>
  <si>
    <t>BO DC Motor</t>
  </si>
  <si>
    <t>Threaded Rod and Lead Screw</t>
  </si>
  <si>
    <t xml:space="preserve">LM2596 Buck Convertor </t>
  </si>
  <si>
    <t>Capacitor 100uf</t>
  </si>
  <si>
    <t>Wheels</t>
  </si>
  <si>
    <t>Battery Holder</t>
  </si>
  <si>
    <t>Resistor</t>
  </si>
  <si>
    <t>Purpose</t>
  </si>
  <si>
    <t>Soil pH Measurement</t>
  </si>
  <si>
    <t>Main Control</t>
  </si>
  <si>
    <t>Location Tracking</t>
  </si>
  <si>
    <t>Components Housing</t>
  </si>
  <si>
    <t>Recharge Battery</t>
  </si>
  <si>
    <t>Local Display</t>
  </si>
  <si>
    <t>Motor Control</t>
  </si>
  <si>
    <t>BMP280 Sensor Module</t>
  </si>
  <si>
    <t xml:space="preserve">Temperature, Pressure </t>
  </si>
  <si>
    <t>Soil Moisture Measurement</t>
  </si>
  <si>
    <t>Power Supply</t>
  </si>
  <si>
    <t>Linear Actuation</t>
  </si>
  <si>
    <t>Voltage Regulation</t>
  </si>
  <si>
    <t>Stable Voltage</t>
  </si>
  <si>
    <t>Rover  and Lead Screw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</si>
</sst>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D06A-19A3-4FC6-8E8D-BECA8E4CF541}">
  <dimension ref="A1:G194"/>
  <sheetViews>
    <sheetView workbookViewId="0">
      <selection sqref="A1:XFD1048576"/>
    </sheetView>
  </sheetViews>
  <sheetFormatPr defaultRowHeight="14.5" x14ac:dyDescent="0.35"/>
  <cols>
    <col min="2" max="2" width="48.36328125" customWidth="1"/>
    <col min="4" max="4" width="19.453125" bestFit="1" customWidth="1"/>
    <col min="5" max="5" width="12.08984375" bestFit="1" customWidth="1"/>
    <col min="6" max="6" width="15.81640625" customWidth="1"/>
    <col min="7" max="7" width="31.453125" bestFit="1" customWidth="1"/>
  </cols>
  <sheetData>
    <row r="1" spans="1:7" x14ac:dyDescent="0.35">
      <c r="A1" s="2" t="s">
        <v>0</v>
      </c>
      <c r="B1" s="2" t="s">
        <v>1</v>
      </c>
      <c r="C1" s="3" t="s">
        <v>55</v>
      </c>
      <c r="D1" s="3" t="s">
        <v>46</v>
      </c>
      <c r="E1" s="3" t="s">
        <v>56</v>
      </c>
      <c r="F1" s="4" t="s">
        <v>35</v>
      </c>
      <c r="G1" s="3" t="s">
        <v>48</v>
      </c>
    </row>
    <row r="2" spans="1:7" x14ac:dyDescent="0.35">
      <c r="A2" s="5">
        <v>3</v>
      </c>
      <c r="B2" s="11" t="s">
        <v>4</v>
      </c>
      <c r="C2" s="5">
        <v>1</v>
      </c>
      <c r="D2" s="7">
        <f t="shared" ref="D2:D44" si="0">E2/C2</f>
        <v>2500</v>
      </c>
      <c r="E2" s="7">
        <v>2500</v>
      </c>
      <c r="F2" s="6" t="s">
        <v>36</v>
      </c>
      <c r="G2" s="6" t="s">
        <v>50</v>
      </c>
    </row>
    <row r="3" spans="1:7" x14ac:dyDescent="0.35">
      <c r="A3" s="5">
        <v>39</v>
      </c>
      <c r="B3" s="11" t="s">
        <v>39</v>
      </c>
      <c r="C3" s="8">
        <v>1</v>
      </c>
      <c r="D3" s="7">
        <f t="shared" si="0"/>
        <v>612</v>
      </c>
      <c r="E3" s="7">
        <v>612</v>
      </c>
      <c r="F3" s="6" t="s">
        <v>59</v>
      </c>
      <c r="G3" s="6" t="s">
        <v>49</v>
      </c>
    </row>
    <row r="4" spans="1:7" x14ac:dyDescent="0.35">
      <c r="A4" s="5">
        <v>1</v>
      </c>
      <c r="B4" s="11" t="s">
        <v>2</v>
      </c>
      <c r="C4" s="5">
        <v>1</v>
      </c>
      <c r="D4" s="7">
        <f t="shared" si="0"/>
        <v>550</v>
      </c>
      <c r="E4" s="7">
        <v>550</v>
      </c>
      <c r="F4" s="6" t="s">
        <v>36</v>
      </c>
      <c r="G4" s="6" t="s">
        <v>51</v>
      </c>
    </row>
    <row r="5" spans="1:7" x14ac:dyDescent="0.35">
      <c r="A5" s="5">
        <v>15</v>
      </c>
      <c r="B5" s="11" t="s">
        <v>14</v>
      </c>
      <c r="C5" s="5">
        <v>1</v>
      </c>
      <c r="D5" s="7">
        <f t="shared" si="0"/>
        <v>550</v>
      </c>
      <c r="E5" s="7">
        <v>550</v>
      </c>
      <c r="F5" s="6" t="s">
        <v>59</v>
      </c>
      <c r="G5" s="6" t="s">
        <v>51</v>
      </c>
    </row>
    <row r="6" spans="1:7" x14ac:dyDescent="0.35">
      <c r="A6" s="5">
        <v>9</v>
      </c>
      <c r="B6" s="11" t="s">
        <v>9</v>
      </c>
      <c r="C6" s="5">
        <v>1</v>
      </c>
      <c r="D6" s="7">
        <f t="shared" si="0"/>
        <v>450</v>
      </c>
      <c r="E6" s="7">
        <v>450</v>
      </c>
      <c r="F6" s="6" t="s">
        <v>59</v>
      </c>
      <c r="G6" s="6" t="s">
        <v>51</v>
      </c>
    </row>
    <row r="7" spans="1:7" x14ac:dyDescent="0.35">
      <c r="A7" s="5">
        <v>23</v>
      </c>
      <c r="B7" s="11" t="s">
        <v>22</v>
      </c>
      <c r="C7" s="5">
        <v>1</v>
      </c>
      <c r="D7" s="7">
        <f t="shared" si="0"/>
        <v>450</v>
      </c>
      <c r="E7" s="7">
        <v>450</v>
      </c>
      <c r="F7" s="6" t="s">
        <v>36</v>
      </c>
      <c r="G7" s="6" t="s">
        <v>51</v>
      </c>
    </row>
    <row r="8" spans="1:7" x14ac:dyDescent="0.35">
      <c r="A8" s="5">
        <v>11</v>
      </c>
      <c r="B8" s="11" t="s">
        <v>10</v>
      </c>
      <c r="C8" s="5">
        <v>1</v>
      </c>
      <c r="D8" s="7">
        <f t="shared" si="0"/>
        <v>350</v>
      </c>
      <c r="E8" s="7">
        <v>350</v>
      </c>
      <c r="F8" s="6" t="s">
        <v>59</v>
      </c>
      <c r="G8" s="6" t="s">
        <v>51</v>
      </c>
    </row>
    <row r="9" spans="1:7" x14ac:dyDescent="0.35">
      <c r="A9" s="5">
        <v>25</v>
      </c>
      <c r="B9" s="11" t="s">
        <v>24</v>
      </c>
      <c r="C9" s="5">
        <v>1</v>
      </c>
      <c r="D9" s="7">
        <f t="shared" si="0"/>
        <v>300</v>
      </c>
      <c r="E9" s="7">
        <v>300</v>
      </c>
      <c r="F9" s="6" t="s">
        <v>36</v>
      </c>
      <c r="G9" s="6" t="s">
        <v>51</v>
      </c>
    </row>
    <row r="10" spans="1:7" x14ac:dyDescent="0.35">
      <c r="A10" s="5">
        <v>8</v>
      </c>
      <c r="B10" s="11" t="s">
        <v>8</v>
      </c>
      <c r="C10" s="5">
        <v>1</v>
      </c>
      <c r="D10" s="7">
        <f t="shared" si="0"/>
        <v>250</v>
      </c>
      <c r="E10" s="7">
        <v>250</v>
      </c>
      <c r="F10" s="6" t="s">
        <v>59</v>
      </c>
      <c r="G10" s="6" t="s">
        <v>51</v>
      </c>
    </row>
    <row r="11" spans="1:7" x14ac:dyDescent="0.35">
      <c r="A11" s="5">
        <v>22</v>
      </c>
      <c r="B11" s="11" t="s">
        <v>21</v>
      </c>
      <c r="C11" s="5">
        <v>1</v>
      </c>
      <c r="D11" s="7">
        <f t="shared" si="0"/>
        <v>250</v>
      </c>
      <c r="E11" s="7">
        <v>250</v>
      </c>
      <c r="F11" s="6" t="s">
        <v>36</v>
      </c>
      <c r="G11" s="6" t="s">
        <v>51</v>
      </c>
    </row>
    <row r="12" spans="1:7" x14ac:dyDescent="0.35">
      <c r="A12" s="5">
        <v>29</v>
      </c>
      <c r="B12" s="11" t="s">
        <v>47</v>
      </c>
      <c r="C12" s="5">
        <v>1</v>
      </c>
      <c r="D12" s="7">
        <f t="shared" si="0"/>
        <v>250</v>
      </c>
      <c r="E12" s="7">
        <v>250</v>
      </c>
      <c r="F12" s="6" t="s">
        <v>36</v>
      </c>
      <c r="G12" s="6" t="s">
        <v>51</v>
      </c>
    </row>
    <row r="13" spans="1:7" x14ac:dyDescent="0.35">
      <c r="A13" s="5">
        <v>24</v>
      </c>
      <c r="B13" s="11" t="s">
        <v>23</v>
      </c>
      <c r="C13" s="5">
        <v>1</v>
      </c>
      <c r="D13" s="7">
        <f t="shared" si="0"/>
        <v>219</v>
      </c>
      <c r="E13" s="7">
        <v>219</v>
      </c>
      <c r="F13" s="6" t="s">
        <v>36</v>
      </c>
      <c r="G13" s="6" t="s">
        <v>51</v>
      </c>
    </row>
    <row r="14" spans="1:7" x14ac:dyDescent="0.35">
      <c r="A14" s="5">
        <v>5</v>
      </c>
      <c r="B14" s="11" t="s">
        <v>6</v>
      </c>
      <c r="C14" s="5">
        <v>3</v>
      </c>
      <c r="D14" s="7">
        <f t="shared" si="0"/>
        <v>200</v>
      </c>
      <c r="E14" s="7">
        <v>600</v>
      </c>
      <c r="F14" s="6" t="s">
        <v>36</v>
      </c>
      <c r="G14" s="6" t="s">
        <v>51</v>
      </c>
    </row>
    <row r="15" spans="1:7" x14ac:dyDescent="0.35">
      <c r="A15" s="5">
        <v>2</v>
      </c>
      <c r="B15" s="11" t="s">
        <v>3</v>
      </c>
      <c r="C15" s="5">
        <v>1</v>
      </c>
      <c r="D15" s="7">
        <f t="shared" si="0"/>
        <v>150</v>
      </c>
      <c r="E15" s="7">
        <v>150</v>
      </c>
      <c r="F15" s="6" t="s">
        <v>36</v>
      </c>
      <c r="G15" s="6" t="s">
        <v>51</v>
      </c>
    </row>
    <row r="16" spans="1:7" x14ac:dyDescent="0.35">
      <c r="A16" s="5">
        <v>4</v>
      </c>
      <c r="B16" s="11" t="s">
        <v>5</v>
      </c>
      <c r="C16" s="5">
        <v>1</v>
      </c>
      <c r="D16" s="7">
        <f t="shared" si="0"/>
        <v>150</v>
      </c>
      <c r="E16" s="7">
        <v>150</v>
      </c>
      <c r="F16" s="6" t="s">
        <v>36</v>
      </c>
      <c r="G16" s="6" t="s">
        <v>51</v>
      </c>
    </row>
    <row r="17" spans="1:7" x14ac:dyDescent="0.35">
      <c r="A17" s="5">
        <v>16</v>
      </c>
      <c r="B17" s="11" t="s">
        <v>15</v>
      </c>
      <c r="C17" s="5">
        <v>1</v>
      </c>
      <c r="D17" s="7">
        <f t="shared" si="0"/>
        <v>150</v>
      </c>
      <c r="E17" s="7">
        <v>150</v>
      </c>
      <c r="F17" s="6" t="s">
        <v>59</v>
      </c>
      <c r="G17" s="6" t="s">
        <v>51</v>
      </c>
    </row>
    <row r="18" spans="1:7" x14ac:dyDescent="0.35">
      <c r="A18" s="5">
        <v>21</v>
      </c>
      <c r="B18" s="11" t="s">
        <v>20</v>
      </c>
      <c r="C18" s="5">
        <v>1</v>
      </c>
      <c r="D18" s="7">
        <f t="shared" si="0"/>
        <v>150</v>
      </c>
      <c r="E18" s="7">
        <v>150</v>
      </c>
      <c r="F18" s="6" t="s">
        <v>36</v>
      </c>
      <c r="G18" s="6" t="s">
        <v>51</v>
      </c>
    </row>
    <row r="19" spans="1:7" x14ac:dyDescent="0.35">
      <c r="A19" s="5">
        <v>18</v>
      </c>
      <c r="B19" s="11" t="s">
        <v>17</v>
      </c>
      <c r="C19" s="5">
        <v>1</v>
      </c>
      <c r="D19" s="7">
        <f t="shared" si="0"/>
        <v>100</v>
      </c>
      <c r="E19" s="7">
        <v>100</v>
      </c>
      <c r="F19" s="6" t="s">
        <v>59</v>
      </c>
      <c r="G19" s="6" t="s">
        <v>51</v>
      </c>
    </row>
    <row r="20" spans="1:7" x14ac:dyDescent="0.35">
      <c r="A20" s="5">
        <v>7</v>
      </c>
      <c r="B20" s="11" t="s">
        <v>7</v>
      </c>
      <c r="C20" s="5">
        <v>3</v>
      </c>
      <c r="D20" s="7">
        <f t="shared" si="0"/>
        <v>90</v>
      </c>
      <c r="E20" s="7">
        <v>270</v>
      </c>
      <c r="F20" s="6" t="s">
        <v>36</v>
      </c>
      <c r="G20" s="6" t="s">
        <v>51</v>
      </c>
    </row>
    <row r="21" spans="1:7" x14ac:dyDescent="0.35">
      <c r="A21" s="5">
        <v>10</v>
      </c>
      <c r="B21" s="11" t="s">
        <v>31</v>
      </c>
      <c r="C21" s="5">
        <v>1</v>
      </c>
      <c r="D21" s="7">
        <f t="shared" si="0"/>
        <v>75</v>
      </c>
      <c r="E21" s="7">
        <v>75</v>
      </c>
      <c r="F21" s="6" t="s">
        <v>59</v>
      </c>
      <c r="G21" s="6" t="s">
        <v>51</v>
      </c>
    </row>
    <row r="22" spans="1:7" x14ac:dyDescent="0.35">
      <c r="A22" s="5">
        <v>12</v>
      </c>
      <c r="B22" s="11" t="s">
        <v>11</v>
      </c>
      <c r="C22" s="5">
        <v>5</v>
      </c>
      <c r="D22" s="7">
        <f t="shared" si="0"/>
        <v>75</v>
      </c>
      <c r="E22" s="7">
        <v>375</v>
      </c>
      <c r="F22" s="6" t="s">
        <v>36</v>
      </c>
      <c r="G22" s="6" t="s">
        <v>51</v>
      </c>
    </row>
    <row r="23" spans="1:7" x14ac:dyDescent="0.35">
      <c r="A23" s="5">
        <v>32</v>
      </c>
      <c r="B23" s="11" t="s">
        <v>30</v>
      </c>
      <c r="C23" s="5">
        <v>1</v>
      </c>
      <c r="D23" s="7">
        <f t="shared" si="0"/>
        <v>70</v>
      </c>
      <c r="E23" s="7">
        <v>70</v>
      </c>
      <c r="F23" s="6" t="s">
        <v>36</v>
      </c>
      <c r="G23" s="6" t="s">
        <v>52</v>
      </c>
    </row>
    <row r="24" spans="1:7" x14ac:dyDescent="0.35">
      <c r="A24" s="5">
        <v>40</v>
      </c>
      <c r="B24" s="11" t="s">
        <v>40</v>
      </c>
      <c r="C24" s="8">
        <v>3</v>
      </c>
      <c r="D24" s="7">
        <f t="shared" si="0"/>
        <v>64.666666666666671</v>
      </c>
      <c r="E24" s="7">
        <v>194</v>
      </c>
      <c r="F24" s="6" t="s">
        <v>59</v>
      </c>
      <c r="G24" s="6" t="s">
        <v>49</v>
      </c>
    </row>
    <row r="25" spans="1:7" x14ac:dyDescent="0.35">
      <c r="A25" s="5">
        <v>6</v>
      </c>
      <c r="B25" s="11" t="s">
        <v>32</v>
      </c>
      <c r="C25" s="5">
        <v>2</v>
      </c>
      <c r="D25" s="7">
        <f t="shared" si="0"/>
        <v>50</v>
      </c>
      <c r="E25" s="7">
        <v>100</v>
      </c>
      <c r="F25" s="6" t="s">
        <v>36</v>
      </c>
      <c r="G25" s="6" t="s">
        <v>53</v>
      </c>
    </row>
    <row r="26" spans="1:7" x14ac:dyDescent="0.35">
      <c r="A26" s="5">
        <v>31</v>
      </c>
      <c r="B26" s="11" t="s">
        <v>29</v>
      </c>
      <c r="C26" s="5">
        <v>2</v>
      </c>
      <c r="D26" s="7">
        <f t="shared" si="0"/>
        <v>50</v>
      </c>
      <c r="E26" s="7">
        <v>100</v>
      </c>
      <c r="F26" s="6" t="s">
        <v>59</v>
      </c>
      <c r="G26" s="6" t="s">
        <v>53</v>
      </c>
    </row>
    <row r="27" spans="1:7" x14ac:dyDescent="0.35">
      <c r="A27" s="5">
        <v>14</v>
      </c>
      <c r="B27" s="11" t="s">
        <v>13</v>
      </c>
      <c r="C27" s="5">
        <v>4</v>
      </c>
      <c r="D27" s="7">
        <f t="shared" si="0"/>
        <v>40</v>
      </c>
      <c r="E27" s="7">
        <v>160</v>
      </c>
      <c r="F27" s="6" t="s">
        <v>36</v>
      </c>
      <c r="G27" s="6" t="s">
        <v>53</v>
      </c>
    </row>
    <row r="28" spans="1:7" x14ac:dyDescent="0.35">
      <c r="A28" s="5">
        <v>38</v>
      </c>
      <c r="B28" s="11" t="s">
        <v>38</v>
      </c>
      <c r="C28" s="8">
        <v>2</v>
      </c>
      <c r="D28" s="7">
        <f t="shared" si="0"/>
        <v>35</v>
      </c>
      <c r="E28" s="7">
        <v>70</v>
      </c>
      <c r="F28" s="6" t="s">
        <v>59</v>
      </c>
      <c r="G28" s="6" t="s">
        <v>49</v>
      </c>
    </row>
    <row r="29" spans="1:7" x14ac:dyDescent="0.35">
      <c r="A29" s="5">
        <v>30</v>
      </c>
      <c r="B29" s="11" t="s">
        <v>28</v>
      </c>
      <c r="C29" s="5">
        <v>9</v>
      </c>
      <c r="D29" s="7">
        <f t="shared" si="0"/>
        <v>33.333333333333336</v>
      </c>
      <c r="E29" s="7">
        <v>300</v>
      </c>
      <c r="F29" s="6" t="s">
        <v>36</v>
      </c>
      <c r="G29" s="6" t="s">
        <v>52</v>
      </c>
    </row>
    <row r="30" spans="1:7" x14ac:dyDescent="0.35">
      <c r="A30" s="5">
        <v>17</v>
      </c>
      <c r="B30" s="11" t="s">
        <v>16</v>
      </c>
      <c r="C30" s="5">
        <v>1</v>
      </c>
      <c r="D30" s="7">
        <f t="shared" si="0"/>
        <v>30</v>
      </c>
      <c r="E30" s="7">
        <v>30</v>
      </c>
      <c r="F30" s="6" t="s">
        <v>59</v>
      </c>
      <c r="G30" s="6" t="s">
        <v>53</v>
      </c>
    </row>
    <row r="31" spans="1:7" x14ac:dyDescent="0.35">
      <c r="A31" s="5">
        <v>20</v>
      </c>
      <c r="B31" s="11" t="s">
        <v>19</v>
      </c>
      <c r="C31" s="5">
        <v>2</v>
      </c>
      <c r="D31" s="7">
        <f t="shared" si="0"/>
        <v>30</v>
      </c>
      <c r="E31" s="7">
        <v>60</v>
      </c>
      <c r="F31" s="6" t="s">
        <v>36</v>
      </c>
      <c r="G31" s="6" t="s">
        <v>53</v>
      </c>
    </row>
    <row r="32" spans="1:7" x14ac:dyDescent="0.35">
      <c r="A32" s="5">
        <v>13</v>
      </c>
      <c r="B32" s="11" t="s">
        <v>12</v>
      </c>
      <c r="C32" s="5">
        <v>2</v>
      </c>
      <c r="D32" s="7">
        <f t="shared" si="0"/>
        <v>20</v>
      </c>
      <c r="E32" s="7">
        <v>40</v>
      </c>
      <c r="F32" s="6" t="s">
        <v>59</v>
      </c>
      <c r="G32" s="6" t="s">
        <v>53</v>
      </c>
    </row>
    <row r="33" spans="1:7" x14ac:dyDescent="0.35">
      <c r="A33" s="5">
        <v>19</v>
      </c>
      <c r="B33" s="11" t="s">
        <v>18</v>
      </c>
      <c r="C33" s="5">
        <v>1</v>
      </c>
      <c r="D33" s="7">
        <f t="shared" si="0"/>
        <v>20</v>
      </c>
      <c r="E33" s="7">
        <v>20</v>
      </c>
      <c r="F33" s="6" t="s">
        <v>59</v>
      </c>
      <c r="G33" s="6" t="s">
        <v>53</v>
      </c>
    </row>
    <row r="34" spans="1:7" x14ac:dyDescent="0.35">
      <c r="A34" s="5">
        <v>37</v>
      </c>
      <c r="B34" s="11" t="s">
        <v>37</v>
      </c>
      <c r="C34" s="8">
        <v>4</v>
      </c>
      <c r="D34" s="7">
        <f t="shared" si="0"/>
        <v>20</v>
      </c>
      <c r="E34" s="7">
        <v>80</v>
      </c>
      <c r="F34" s="6" t="s">
        <v>59</v>
      </c>
      <c r="G34" s="6" t="s">
        <v>53</v>
      </c>
    </row>
    <row r="35" spans="1:7" x14ac:dyDescent="0.35">
      <c r="A35" s="5">
        <v>34</v>
      </c>
      <c r="B35" s="11" t="s">
        <v>33</v>
      </c>
      <c r="C35" s="8">
        <v>3</v>
      </c>
      <c r="D35" s="7">
        <f t="shared" si="0"/>
        <v>10</v>
      </c>
      <c r="E35" s="7">
        <v>30</v>
      </c>
      <c r="F35" s="6" t="s">
        <v>36</v>
      </c>
      <c r="G35" s="6" t="s">
        <v>53</v>
      </c>
    </row>
    <row r="36" spans="1:7" x14ac:dyDescent="0.35">
      <c r="A36" s="5">
        <v>41</v>
      </c>
      <c r="B36" s="11" t="s">
        <v>45</v>
      </c>
      <c r="C36" s="8">
        <v>2</v>
      </c>
      <c r="D36" s="7">
        <f t="shared" si="0"/>
        <v>10</v>
      </c>
      <c r="E36" s="7">
        <v>20</v>
      </c>
      <c r="F36" s="6" t="s">
        <v>59</v>
      </c>
      <c r="G36" s="6" t="s">
        <v>54</v>
      </c>
    </row>
    <row r="37" spans="1:7" x14ac:dyDescent="0.35">
      <c r="A37" s="5">
        <v>44</v>
      </c>
      <c r="B37" s="11" t="s">
        <v>43</v>
      </c>
      <c r="C37" s="8">
        <v>6</v>
      </c>
      <c r="D37" s="7">
        <f t="shared" si="0"/>
        <v>10</v>
      </c>
      <c r="E37" s="7">
        <v>60</v>
      </c>
      <c r="F37" s="6" t="s">
        <v>59</v>
      </c>
      <c r="G37" s="6" t="s">
        <v>54</v>
      </c>
    </row>
    <row r="38" spans="1:7" x14ac:dyDescent="0.35">
      <c r="A38" s="5">
        <v>46</v>
      </c>
      <c r="B38" s="11" t="s">
        <v>41</v>
      </c>
      <c r="C38" s="8">
        <v>4</v>
      </c>
      <c r="D38" s="7">
        <f t="shared" si="0"/>
        <v>8</v>
      </c>
      <c r="E38" s="7">
        <v>32</v>
      </c>
      <c r="F38" s="6" t="s">
        <v>59</v>
      </c>
      <c r="G38" s="6" t="s">
        <v>54</v>
      </c>
    </row>
    <row r="39" spans="1:7" x14ac:dyDescent="0.35">
      <c r="A39" s="5">
        <v>45</v>
      </c>
      <c r="B39" s="11" t="s">
        <v>44</v>
      </c>
      <c r="C39" s="8">
        <v>6</v>
      </c>
      <c r="D39" s="7">
        <f t="shared" si="0"/>
        <v>7.5</v>
      </c>
      <c r="E39" s="7">
        <v>45</v>
      </c>
      <c r="F39" s="6" t="s">
        <v>59</v>
      </c>
      <c r="G39" s="6" t="s">
        <v>54</v>
      </c>
    </row>
    <row r="40" spans="1:7" x14ac:dyDescent="0.35">
      <c r="A40" s="5">
        <v>42</v>
      </c>
      <c r="B40" s="11" t="s">
        <v>61</v>
      </c>
      <c r="C40" s="8">
        <v>8</v>
      </c>
      <c r="D40" s="7">
        <f t="shared" si="0"/>
        <v>6</v>
      </c>
      <c r="E40" s="7">
        <v>48</v>
      </c>
      <c r="F40" s="6" t="s">
        <v>59</v>
      </c>
      <c r="G40" s="6" t="s">
        <v>54</v>
      </c>
    </row>
    <row r="41" spans="1:7" x14ac:dyDescent="0.35">
      <c r="A41" s="5">
        <v>43</v>
      </c>
      <c r="B41" s="11" t="s">
        <v>42</v>
      </c>
      <c r="C41" s="8">
        <v>6</v>
      </c>
      <c r="D41" s="7">
        <f t="shared" si="0"/>
        <v>5</v>
      </c>
      <c r="E41" s="7">
        <v>30</v>
      </c>
      <c r="F41" s="6" t="s">
        <v>59</v>
      </c>
      <c r="G41" s="6" t="s">
        <v>54</v>
      </c>
    </row>
    <row r="42" spans="1:7" x14ac:dyDescent="0.35">
      <c r="A42" s="5">
        <v>28</v>
      </c>
      <c r="B42" s="11" t="s">
        <v>27</v>
      </c>
      <c r="C42" s="5">
        <v>250</v>
      </c>
      <c r="D42" s="7">
        <f t="shared" si="0"/>
        <v>3</v>
      </c>
      <c r="E42" s="7">
        <v>750</v>
      </c>
      <c r="F42" s="6" t="s">
        <v>36</v>
      </c>
      <c r="G42" s="6" t="s">
        <v>53</v>
      </c>
    </row>
    <row r="43" spans="1:7" x14ac:dyDescent="0.35">
      <c r="A43" s="5">
        <v>26</v>
      </c>
      <c r="B43" s="11" t="s">
        <v>25</v>
      </c>
      <c r="C43" s="5">
        <v>4</v>
      </c>
      <c r="D43" s="7">
        <f t="shared" si="0"/>
        <v>2.5</v>
      </c>
      <c r="E43" s="7">
        <v>10</v>
      </c>
      <c r="F43" s="6" t="s">
        <v>59</v>
      </c>
      <c r="G43" s="6" t="s">
        <v>53</v>
      </c>
    </row>
    <row r="44" spans="1:7" x14ac:dyDescent="0.35">
      <c r="A44" s="5">
        <v>27</v>
      </c>
      <c r="B44" s="11" t="s">
        <v>26</v>
      </c>
      <c r="C44" s="5">
        <v>5</v>
      </c>
      <c r="D44" s="7">
        <f t="shared" si="0"/>
        <v>1</v>
      </c>
      <c r="E44" s="7">
        <v>5</v>
      </c>
      <c r="F44" s="6" t="s">
        <v>59</v>
      </c>
      <c r="G44" s="6" t="s">
        <v>53</v>
      </c>
    </row>
    <row r="45" spans="1:7" x14ac:dyDescent="0.35">
      <c r="A45" s="5">
        <v>35</v>
      </c>
      <c r="B45" s="11" t="s">
        <v>34</v>
      </c>
      <c r="C45" s="8"/>
      <c r="D45" s="7"/>
      <c r="E45" s="7">
        <v>300</v>
      </c>
      <c r="F45" s="6" t="s">
        <v>36</v>
      </c>
      <c r="G45" s="6"/>
    </row>
    <row r="46" spans="1:7" x14ac:dyDescent="0.35">
      <c r="A46" s="5">
        <v>36</v>
      </c>
      <c r="B46" s="12" t="s">
        <v>57</v>
      </c>
      <c r="C46" s="12"/>
      <c r="D46" s="12"/>
      <c r="E46" s="9">
        <v>8000</v>
      </c>
      <c r="F46" s="6"/>
      <c r="G46" s="6"/>
    </row>
    <row r="47" spans="1:7" x14ac:dyDescent="0.35">
      <c r="A47" s="5">
        <v>47</v>
      </c>
      <c r="B47" s="12" t="s">
        <v>58</v>
      </c>
      <c r="C47" s="12"/>
      <c r="D47" s="12"/>
      <c r="E47" s="9">
        <v>3321</v>
      </c>
      <c r="F47" s="6"/>
      <c r="G47" s="6"/>
    </row>
    <row r="48" spans="1:7" x14ac:dyDescent="0.35">
      <c r="A48" s="5">
        <v>48</v>
      </c>
      <c r="B48" s="12" t="s">
        <v>60</v>
      </c>
      <c r="C48" s="12"/>
      <c r="D48" s="12"/>
      <c r="E48" s="10">
        <f>SUM(E46:E47)</f>
        <v>11321</v>
      </c>
      <c r="F48" s="6"/>
      <c r="G48" s="6"/>
    </row>
    <row r="49" spans="1:1" x14ac:dyDescent="0.35">
      <c r="A49" s="1">
        <v>49</v>
      </c>
    </row>
    <row r="50" spans="1:1" x14ac:dyDescent="0.35">
      <c r="A50" s="1">
        <v>50</v>
      </c>
    </row>
    <row r="51" spans="1:1" x14ac:dyDescent="0.35">
      <c r="A51" s="1">
        <v>51</v>
      </c>
    </row>
    <row r="52" spans="1:1" x14ac:dyDescent="0.35">
      <c r="A52" s="1">
        <v>52</v>
      </c>
    </row>
    <row r="53" spans="1:1" x14ac:dyDescent="0.35">
      <c r="A53" s="1">
        <v>53</v>
      </c>
    </row>
    <row r="54" spans="1:1" x14ac:dyDescent="0.35">
      <c r="A54" s="1">
        <v>54</v>
      </c>
    </row>
    <row r="55" spans="1:1" x14ac:dyDescent="0.35">
      <c r="A55" s="1">
        <v>55</v>
      </c>
    </row>
    <row r="56" spans="1:1" x14ac:dyDescent="0.35">
      <c r="A56" s="1">
        <v>56</v>
      </c>
    </row>
    <row r="57" spans="1:1" x14ac:dyDescent="0.35">
      <c r="A57" s="1">
        <v>57</v>
      </c>
    </row>
    <row r="58" spans="1:1" x14ac:dyDescent="0.35">
      <c r="A58" s="1">
        <v>58</v>
      </c>
    </row>
    <row r="59" spans="1:1" x14ac:dyDescent="0.35">
      <c r="A59" s="1">
        <v>59</v>
      </c>
    </row>
    <row r="60" spans="1:1" x14ac:dyDescent="0.35">
      <c r="A60" s="1">
        <v>60</v>
      </c>
    </row>
    <row r="61" spans="1:1" x14ac:dyDescent="0.35">
      <c r="A61" s="1">
        <v>61</v>
      </c>
    </row>
    <row r="62" spans="1:1" x14ac:dyDescent="0.35">
      <c r="A62" s="1">
        <v>62</v>
      </c>
    </row>
    <row r="63" spans="1:1" x14ac:dyDescent="0.35">
      <c r="A63" s="1">
        <v>63</v>
      </c>
    </row>
    <row r="64" spans="1:1" x14ac:dyDescent="0.35">
      <c r="A64" s="1">
        <v>64</v>
      </c>
    </row>
    <row r="65" spans="1:1" x14ac:dyDescent="0.35">
      <c r="A65" s="1">
        <v>65</v>
      </c>
    </row>
    <row r="66" spans="1:1" x14ac:dyDescent="0.35">
      <c r="A66" s="1">
        <v>66</v>
      </c>
    </row>
    <row r="67" spans="1:1" x14ac:dyDescent="0.35">
      <c r="A67" s="1">
        <v>67</v>
      </c>
    </row>
    <row r="68" spans="1:1" x14ac:dyDescent="0.35">
      <c r="A68" s="1">
        <v>68</v>
      </c>
    </row>
    <row r="69" spans="1:1" x14ac:dyDescent="0.35">
      <c r="A69" s="1">
        <v>69</v>
      </c>
    </row>
    <row r="70" spans="1:1" x14ac:dyDescent="0.35">
      <c r="A70" s="1">
        <v>70</v>
      </c>
    </row>
    <row r="71" spans="1:1" x14ac:dyDescent="0.35">
      <c r="A71" s="1">
        <v>71</v>
      </c>
    </row>
    <row r="72" spans="1:1" x14ac:dyDescent="0.35">
      <c r="A72" s="1">
        <v>72</v>
      </c>
    </row>
    <row r="73" spans="1:1" x14ac:dyDescent="0.35">
      <c r="A73" s="1">
        <v>73</v>
      </c>
    </row>
    <row r="74" spans="1:1" x14ac:dyDescent="0.35">
      <c r="A74" s="1">
        <v>74</v>
      </c>
    </row>
    <row r="75" spans="1:1" x14ac:dyDescent="0.35">
      <c r="A75" s="1">
        <v>75</v>
      </c>
    </row>
    <row r="76" spans="1:1" x14ac:dyDescent="0.35">
      <c r="A76" s="1">
        <v>76</v>
      </c>
    </row>
    <row r="77" spans="1:1" x14ac:dyDescent="0.35">
      <c r="A77" s="1">
        <v>77</v>
      </c>
    </row>
    <row r="78" spans="1:1" x14ac:dyDescent="0.35">
      <c r="A78" s="1">
        <v>78</v>
      </c>
    </row>
    <row r="79" spans="1:1" x14ac:dyDescent="0.35">
      <c r="A79" s="1">
        <v>79</v>
      </c>
    </row>
    <row r="80" spans="1:1" x14ac:dyDescent="0.35">
      <c r="A80" s="1">
        <v>80</v>
      </c>
    </row>
    <row r="81" spans="1:1" x14ac:dyDescent="0.35">
      <c r="A81" s="1">
        <v>81</v>
      </c>
    </row>
    <row r="82" spans="1:1" x14ac:dyDescent="0.35">
      <c r="A82" s="1">
        <v>82</v>
      </c>
    </row>
    <row r="83" spans="1:1" x14ac:dyDescent="0.35">
      <c r="A83" s="1">
        <v>83</v>
      </c>
    </row>
    <row r="84" spans="1:1" x14ac:dyDescent="0.35">
      <c r="A84" s="1">
        <v>84</v>
      </c>
    </row>
    <row r="85" spans="1:1" x14ac:dyDescent="0.35">
      <c r="A85" s="1">
        <v>85</v>
      </c>
    </row>
    <row r="86" spans="1:1" x14ac:dyDescent="0.35">
      <c r="A86" s="1">
        <v>86</v>
      </c>
    </row>
    <row r="87" spans="1:1" x14ac:dyDescent="0.35">
      <c r="A87" s="1">
        <v>87</v>
      </c>
    </row>
    <row r="88" spans="1:1" x14ac:dyDescent="0.35">
      <c r="A88" s="1">
        <v>88</v>
      </c>
    </row>
    <row r="89" spans="1:1" x14ac:dyDescent="0.35">
      <c r="A89" s="1">
        <v>89</v>
      </c>
    </row>
    <row r="90" spans="1:1" x14ac:dyDescent="0.35">
      <c r="A90" s="1">
        <v>90</v>
      </c>
    </row>
    <row r="91" spans="1:1" x14ac:dyDescent="0.35">
      <c r="A91" s="1">
        <v>91</v>
      </c>
    </row>
    <row r="92" spans="1:1" x14ac:dyDescent="0.35">
      <c r="A92" s="1">
        <v>92</v>
      </c>
    </row>
    <row r="93" spans="1:1" x14ac:dyDescent="0.35">
      <c r="A93" s="1">
        <v>93</v>
      </c>
    </row>
    <row r="94" spans="1:1" x14ac:dyDescent="0.35">
      <c r="A94" s="1">
        <v>94</v>
      </c>
    </row>
    <row r="95" spans="1:1" x14ac:dyDescent="0.35">
      <c r="A95" s="1">
        <v>95</v>
      </c>
    </row>
    <row r="96" spans="1:1" x14ac:dyDescent="0.35">
      <c r="A96" s="1">
        <v>96</v>
      </c>
    </row>
    <row r="97" spans="1:1" x14ac:dyDescent="0.35">
      <c r="A97" s="1">
        <v>97</v>
      </c>
    </row>
    <row r="98" spans="1:1" x14ac:dyDescent="0.35">
      <c r="A98" s="1">
        <v>98</v>
      </c>
    </row>
    <row r="99" spans="1:1" x14ac:dyDescent="0.35">
      <c r="A99" s="1">
        <v>99</v>
      </c>
    </row>
    <row r="100" spans="1:1" x14ac:dyDescent="0.35">
      <c r="A100" s="1">
        <v>100</v>
      </c>
    </row>
    <row r="101" spans="1:1" x14ac:dyDescent="0.35">
      <c r="A101" s="1">
        <v>101</v>
      </c>
    </row>
    <row r="102" spans="1:1" x14ac:dyDescent="0.35">
      <c r="A102" s="1">
        <v>102</v>
      </c>
    </row>
    <row r="103" spans="1:1" x14ac:dyDescent="0.35">
      <c r="A103" s="1">
        <v>103</v>
      </c>
    </row>
    <row r="104" spans="1:1" x14ac:dyDescent="0.35">
      <c r="A104" s="1">
        <v>104</v>
      </c>
    </row>
    <row r="105" spans="1:1" x14ac:dyDescent="0.35">
      <c r="A105" s="1">
        <v>105</v>
      </c>
    </row>
    <row r="106" spans="1:1" x14ac:dyDescent="0.35">
      <c r="A106" s="1">
        <v>106</v>
      </c>
    </row>
    <row r="107" spans="1:1" x14ac:dyDescent="0.35">
      <c r="A107" s="1">
        <v>107</v>
      </c>
    </row>
    <row r="108" spans="1:1" x14ac:dyDescent="0.35">
      <c r="A108" s="1">
        <v>108</v>
      </c>
    </row>
    <row r="109" spans="1:1" x14ac:dyDescent="0.35">
      <c r="A109" s="1">
        <v>109</v>
      </c>
    </row>
    <row r="110" spans="1:1" x14ac:dyDescent="0.35">
      <c r="A110" s="1">
        <v>110</v>
      </c>
    </row>
    <row r="111" spans="1:1" x14ac:dyDescent="0.35">
      <c r="A111" s="1">
        <v>111</v>
      </c>
    </row>
    <row r="112" spans="1:1" x14ac:dyDescent="0.35">
      <c r="A112" s="1">
        <v>112</v>
      </c>
    </row>
    <row r="113" spans="1:1" x14ac:dyDescent="0.35">
      <c r="A113" s="1">
        <v>113</v>
      </c>
    </row>
    <row r="114" spans="1:1" x14ac:dyDescent="0.35">
      <c r="A114" s="1">
        <v>114</v>
      </c>
    </row>
    <row r="115" spans="1:1" x14ac:dyDescent="0.35">
      <c r="A115" s="1">
        <v>115</v>
      </c>
    </row>
    <row r="116" spans="1:1" x14ac:dyDescent="0.35">
      <c r="A116" s="1">
        <v>116</v>
      </c>
    </row>
    <row r="117" spans="1:1" x14ac:dyDescent="0.35">
      <c r="A117" s="1">
        <v>117</v>
      </c>
    </row>
    <row r="118" spans="1:1" x14ac:dyDescent="0.35">
      <c r="A118" s="1">
        <v>118</v>
      </c>
    </row>
    <row r="119" spans="1:1" x14ac:dyDescent="0.35">
      <c r="A119" s="1">
        <v>119</v>
      </c>
    </row>
    <row r="120" spans="1:1" x14ac:dyDescent="0.35">
      <c r="A120" s="1">
        <v>120</v>
      </c>
    </row>
    <row r="121" spans="1:1" x14ac:dyDescent="0.35">
      <c r="A121" s="1">
        <v>121</v>
      </c>
    </row>
    <row r="122" spans="1:1" x14ac:dyDescent="0.35">
      <c r="A122" s="1">
        <v>122</v>
      </c>
    </row>
    <row r="123" spans="1:1" x14ac:dyDescent="0.35">
      <c r="A123" s="1">
        <v>123</v>
      </c>
    </row>
    <row r="124" spans="1:1" x14ac:dyDescent="0.35">
      <c r="A124" s="1">
        <v>124</v>
      </c>
    </row>
    <row r="125" spans="1:1" x14ac:dyDescent="0.35">
      <c r="A125" s="1">
        <v>125</v>
      </c>
    </row>
    <row r="126" spans="1:1" x14ac:dyDescent="0.35">
      <c r="A126" s="1">
        <v>126</v>
      </c>
    </row>
    <row r="127" spans="1:1" x14ac:dyDescent="0.35">
      <c r="A127" s="1">
        <v>127</v>
      </c>
    </row>
    <row r="128" spans="1:1" x14ac:dyDescent="0.35">
      <c r="A128" s="1">
        <v>128</v>
      </c>
    </row>
    <row r="129" spans="1:1" x14ac:dyDescent="0.35">
      <c r="A129" s="1">
        <v>129</v>
      </c>
    </row>
    <row r="130" spans="1:1" x14ac:dyDescent="0.35">
      <c r="A130" s="1">
        <v>130</v>
      </c>
    </row>
    <row r="131" spans="1:1" x14ac:dyDescent="0.35">
      <c r="A131" s="1">
        <v>131</v>
      </c>
    </row>
    <row r="132" spans="1:1" x14ac:dyDescent="0.35">
      <c r="A132" s="1">
        <v>132</v>
      </c>
    </row>
    <row r="133" spans="1:1" x14ac:dyDescent="0.35">
      <c r="A133" s="1">
        <v>133</v>
      </c>
    </row>
    <row r="134" spans="1:1" x14ac:dyDescent="0.35">
      <c r="A134" s="1">
        <v>134</v>
      </c>
    </row>
    <row r="135" spans="1:1" x14ac:dyDescent="0.35">
      <c r="A135" s="1">
        <v>135</v>
      </c>
    </row>
    <row r="136" spans="1:1" x14ac:dyDescent="0.35">
      <c r="A136" s="1">
        <v>136</v>
      </c>
    </row>
    <row r="137" spans="1:1" x14ac:dyDescent="0.35">
      <c r="A137" s="1">
        <v>137</v>
      </c>
    </row>
    <row r="138" spans="1:1" x14ac:dyDescent="0.35">
      <c r="A138" s="1">
        <v>138</v>
      </c>
    </row>
    <row r="139" spans="1:1" x14ac:dyDescent="0.35">
      <c r="A139" s="1">
        <v>139</v>
      </c>
    </row>
    <row r="140" spans="1:1" x14ac:dyDescent="0.35">
      <c r="A140" s="1">
        <v>140</v>
      </c>
    </row>
    <row r="141" spans="1:1" x14ac:dyDescent="0.35">
      <c r="A141" s="1">
        <v>141</v>
      </c>
    </row>
    <row r="142" spans="1:1" x14ac:dyDescent="0.35">
      <c r="A142" s="1">
        <v>142</v>
      </c>
    </row>
    <row r="143" spans="1:1" x14ac:dyDescent="0.35">
      <c r="A143" s="1">
        <v>143</v>
      </c>
    </row>
    <row r="144" spans="1:1" x14ac:dyDescent="0.35">
      <c r="A144" s="1">
        <v>144</v>
      </c>
    </row>
    <row r="145" spans="1:1" x14ac:dyDescent="0.35">
      <c r="A145" s="1">
        <v>145</v>
      </c>
    </row>
    <row r="146" spans="1:1" x14ac:dyDescent="0.35">
      <c r="A146" s="1">
        <v>146</v>
      </c>
    </row>
    <row r="147" spans="1:1" x14ac:dyDescent="0.35">
      <c r="A147" s="1">
        <v>147</v>
      </c>
    </row>
    <row r="148" spans="1:1" x14ac:dyDescent="0.35">
      <c r="A148" s="1">
        <v>148</v>
      </c>
    </row>
    <row r="149" spans="1:1" x14ac:dyDescent="0.35">
      <c r="A149" s="1">
        <v>149</v>
      </c>
    </row>
    <row r="150" spans="1:1" x14ac:dyDescent="0.35">
      <c r="A150" s="1">
        <v>150</v>
      </c>
    </row>
    <row r="151" spans="1:1" x14ac:dyDescent="0.35">
      <c r="A151" s="1">
        <v>151</v>
      </c>
    </row>
    <row r="152" spans="1:1" x14ac:dyDescent="0.35">
      <c r="A152" s="1">
        <v>152</v>
      </c>
    </row>
    <row r="153" spans="1:1" x14ac:dyDescent="0.35">
      <c r="A153" s="1">
        <v>153</v>
      </c>
    </row>
    <row r="154" spans="1:1" x14ac:dyDescent="0.35">
      <c r="A154" s="1">
        <v>154</v>
      </c>
    </row>
    <row r="155" spans="1:1" x14ac:dyDescent="0.35">
      <c r="A155" s="1">
        <v>155</v>
      </c>
    </row>
    <row r="156" spans="1:1" x14ac:dyDescent="0.35">
      <c r="A156" s="1">
        <v>156</v>
      </c>
    </row>
    <row r="157" spans="1:1" x14ac:dyDescent="0.35">
      <c r="A157" s="1">
        <v>157</v>
      </c>
    </row>
    <row r="158" spans="1:1" x14ac:dyDescent="0.35">
      <c r="A158" s="1">
        <v>158</v>
      </c>
    </row>
    <row r="159" spans="1:1" x14ac:dyDescent="0.35">
      <c r="A159" s="1">
        <v>159</v>
      </c>
    </row>
    <row r="160" spans="1:1" x14ac:dyDescent="0.35">
      <c r="A160" s="1">
        <v>160</v>
      </c>
    </row>
    <row r="161" spans="1:1" x14ac:dyDescent="0.35">
      <c r="A161" s="1">
        <v>161</v>
      </c>
    </row>
    <row r="162" spans="1:1" x14ac:dyDescent="0.35">
      <c r="A162" s="1">
        <v>162</v>
      </c>
    </row>
    <row r="163" spans="1:1" x14ac:dyDescent="0.35">
      <c r="A163" s="1">
        <v>163</v>
      </c>
    </row>
    <row r="164" spans="1:1" x14ac:dyDescent="0.35">
      <c r="A164" s="1">
        <v>164</v>
      </c>
    </row>
    <row r="165" spans="1:1" x14ac:dyDescent="0.35">
      <c r="A165" s="1">
        <v>165</v>
      </c>
    </row>
    <row r="166" spans="1:1" x14ac:dyDescent="0.35">
      <c r="A166" s="1">
        <v>166</v>
      </c>
    </row>
    <row r="167" spans="1:1" x14ac:dyDescent="0.35">
      <c r="A167" s="1">
        <v>167</v>
      </c>
    </row>
    <row r="168" spans="1:1" x14ac:dyDescent="0.35">
      <c r="A168" s="1">
        <v>168</v>
      </c>
    </row>
    <row r="169" spans="1:1" x14ac:dyDescent="0.35">
      <c r="A169" s="1">
        <v>169</v>
      </c>
    </row>
    <row r="170" spans="1:1" x14ac:dyDescent="0.35">
      <c r="A170" s="1">
        <v>170</v>
      </c>
    </row>
    <row r="171" spans="1:1" x14ac:dyDescent="0.35">
      <c r="A171" s="1">
        <v>171</v>
      </c>
    </row>
    <row r="172" spans="1:1" x14ac:dyDescent="0.35">
      <c r="A172" s="1">
        <v>172</v>
      </c>
    </row>
    <row r="173" spans="1:1" x14ac:dyDescent="0.35">
      <c r="A173" s="1">
        <v>173</v>
      </c>
    </row>
    <row r="174" spans="1:1" x14ac:dyDescent="0.35">
      <c r="A174" s="1">
        <v>174</v>
      </c>
    </row>
    <row r="175" spans="1:1" x14ac:dyDescent="0.35">
      <c r="A175" s="1">
        <v>175</v>
      </c>
    </row>
    <row r="176" spans="1:1" x14ac:dyDescent="0.35">
      <c r="A176" s="1">
        <v>176</v>
      </c>
    </row>
    <row r="177" spans="1:1" x14ac:dyDescent="0.35">
      <c r="A177" s="1">
        <v>177</v>
      </c>
    </row>
    <row r="178" spans="1:1" x14ac:dyDescent="0.35">
      <c r="A178" s="1">
        <v>178</v>
      </c>
    </row>
    <row r="179" spans="1:1" x14ac:dyDescent="0.35">
      <c r="A179" s="1">
        <v>179</v>
      </c>
    </row>
    <row r="180" spans="1:1" x14ac:dyDescent="0.35">
      <c r="A180" s="1">
        <v>180</v>
      </c>
    </row>
    <row r="181" spans="1:1" x14ac:dyDescent="0.35">
      <c r="A181" s="1">
        <v>181</v>
      </c>
    </row>
    <row r="182" spans="1:1" x14ac:dyDescent="0.35">
      <c r="A182" s="1">
        <v>182</v>
      </c>
    </row>
    <row r="183" spans="1:1" x14ac:dyDescent="0.35">
      <c r="A183" s="1">
        <v>183</v>
      </c>
    </row>
    <row r="184" spans="1:1" x14ac:dyDescent="0.35">
      <c r="A184" s="1">
        <v>184</v>
      </c>
    </row>
    <row r="185" spans="1:1" x14ac:dyDescent="0.35">
      <c r="A185" s="1">
        <v>185</v>
      </c>
    </row>
    <row r="186" spans="1:1" x14ac:dyDescent="0.35">
      <c r="A186" s="1">
        <v>186</v>
      </c>
    </row>
    <row r="187" spans="1:1" x14ac:dyDescent="0.35">
      <c r="A187" s="1">
        <v>187</v>
      </c>
    </row>
    <row r="188" spans="1:1" x14ac:dyDescent="0.35">
      <c r="A188" s="1">
        <v>188</v>
      </c>
    </row>
    <row r="189" spans="1:1" x14ac:dyDescent="0.35">
      <c r="A189" s="1">
        <v>189</v>
      </c>
    </row>
    <row r="190" spans="1:1" x14ac:dyDescent="0.35">
      <c r="A190" s="1">
        <v>190</v>
      </c>
    </row>
    <row r="191" spans="1:1" x14ac:dyDescent="0.35">
      <c r="A191" s="1">
        <v>191</v>
      </c>
    </row>
    <row r="192" spans="1:1" x14ac:dyDescent="0.35">
      <c r="A192" s="1">
        <v>192</v>
      </c>
    </row>
    <row r="193" spans="1:1" x14ac:dyDescent="0.35">
      <c r="A193" s="1">
        <v>193</v>
      </c>
    </row>
    <row r="194" spans="1:1" x14ac:dyDescent="0.35">
      <c r="A194" s="1">
        <v>194</v>
      </c>
    </row>
  </sheetData>
  <autoFilter ref="A1:F194" xr:uid="{A995D06A-19A3-4FC6-8E8D-BECA8E4CF541}">
    <sortState xmlns:xlrd2="http://schemas.microsoft.com/office/spreadsheetml/2017/richdata2" ref="A2:F194">
      <sortCondition descending="1" ref="D1:D194"/>
    </sortState>
  </autoFilter>
  <mergeCells count="3">
    <mergeCell ref="B46:D46"/>
    <mergeCell ref="B47:D47"/>
    <mergeCell ref="B48:D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E9B1-D939-46B6-8303-E4EECE15D82B}">
  <dimension ref="A1:D164"/>
  <sheetViews>
    <sheetView tabSelected="1" workbookViewId="0">
      <selection activeCell="H6" sqref="H6"/>
    </sheetView>
  </sheetViews>
  <sheetFormatPr defaultRowHeight="14.5" x14ac:dyDescent="0.35"/>
  <cols>
    <col min="2" max="2" width="48.36328125" customWidth="1"/>
    <col min="4" max="4" width="29.453125" bestFit="1" customWidth="1"/>
  </cols>
  <sheetData>
    <row r="1" spans="1:4" x14ac:dyDescent="0.35">
      <c r="A1" s="13" t="s">
        <v>0</v>
      </c>
      <c r="B1" s="13" t="s">
        <v>1</v>
      </c>
      <c r="C1" s="14" t="s">
        <v>55</v>
      </c>
      <c r="D1" s="5" t="s">
        <v>78</v>
      </c>
    </row>
    <row r="2" spans="1:4" x14ac:dyDescent="0.35">
      <c r="A2" s="5">
        <v>1</v>
      </c>
      <c r="B2" s="11" t="s">
        <v>62</v>
      </c>
      <c r="C2" s="5">
        <v>1</v>
      </c>
      <c r="D2" s="15" t="s">
        <v>79</v>
      </c>
    </row>
    <row r="3" spans="1:4" x14ac:dyDescent="0.35">
      <c r="A3" s="5">
        <v>2</v>
      </c>
      <c r="B3" s="11" t="s">
        <v>63</v>
      </c>
      <c r="C3" s="5">
        <v>1</v>
      </c>
      <c r="D3" s="15" t="s">
        <v>80</v>
      </c>
    </row>
    <row r="4" spans="1:4" x14ac:dyDescent="0.35">
      <c r="A4" s="5">
        <v>3</v>
      </c>
      <c r="B4" s="11" t="s">
        <v>64</v>
      </c>
      <c r="C4" s="5">
        <v>1</v>
      </c>
      <c r="D4" s="15" t="s">
        <v>81</v>
      </c>
    </row>
    <row r="5" spans="1:4" x14ac:dyDescent="0.35">
      <c r="A5" s="5">
        <v>4</v>
      </c>
      <c r="B5" s="11" t="s">
        <v>65</v>
      </c>
      <c r="C5" s="5">
        <v>1</v>
      </c>
      <c r="D5" s="15" t="s">
        <v>82</v>
      </c>
    </row>
    <row r="6" spans="1:4" x14ac:dyDescent="0.35">
      <c r="A6" s="5">
        <v>5</v>
      </c>
      <c r="B6" s="11" t="s">
        <v>66</v>
      </c>
      <c r="C6" s="5">
        <v>1</v>
      </c>
      <c r="D6" s="15" t="s">
        <v>83</v>
      </c>
    </row>
    <row r="7" spans="1:4" x14ac:dyDescent="0.35">
      <c r="A7" s="5">
        <v>6</v>
      </c>
      <c r="B7" s="11" t="s">
        <v>67</v>
      </c>
      <c r="C7" s="5">
        <v>1</v>
      </c>
      <c r="D7" s="15" t="s">
        <v>84</v>
      </c>
    </row>
    <row r="8" spans="1:4" x14ac:dyDescent="0.35">
      <c r="A8" s="5">
        <v>7</v>
      </c>
      <c r="B8" s="11" t="s">
        <v>68</v>
      </c>
      <c r="C8" s="5">
        <v>3</v>
      </c>
      <c r="D8" s="15" t="s">
        <v>85</v>
      </c>
    </row>
    <row r="9" spans="1:4" x14ac:dyDescent="0.35">
      <c r="A9" s="5">
        <v>8</v>
      </c>
      <c r="B9" s="11" t="s">
        <v>86</v>
      </c>
      <c r="C9" s="5">
        <v>1</v>
      </c>
      <c r="D9" s="15" t="s">
        <v>87</v>
      </c>
    </row>
    <row r="10" spans="1:4" x14ac:dyDescent="0.35">
      <c r="A10" s="5">
        <v>9</v>
      </c>
      <c r="B10" s="11" t="s">
        <v>69</v>
      </c>
      <c r="C10" s="5">
        <v>1</v>
      </c>
      <c r="D10" s="15" t="s">
        <v>88</v>
      </c>
    </row>
    <row r="11" spans="1:4" x14ac:dyDescent="0.35">
      <c r="A11" s="5">
        <v>10</v>
      </c>
      <c r="B11" s="11" t="s">
        <v>70</v>
      </c>
      <c r="C11" s="5">
        <v>2</v>
      </c>
      <c r="D11" s="15" t="s">
        <v>89</v>
      </c>
    </row>
    <row r="12" spans="1:4" x14ac:dyDescent="0.35">
      <c r="A12" s="5">
        <v>11</v>
      </c>
      <c r="B12" s="11" t="s">
        <v>71</v>
      </c>
      <c r="C12" s="5">
        <v>5</v>
      </c>
      <c r="D12" s="15" t="s">
        <v>93</v>
      </c>
    </row>
    <row r="13" spans="1:4" x14ac:dyDescent="0.35">
      <c r="A13" s="5">
        <v>12</v>
      </c>
      <c r="B13" s="11" t="s">
        <v>72</v>
      </c>
      <c r="C13" s="5">
        <v>1</v>
      </c>
      <c r="D13" s="15" t="s">
        <v>90</v>
      </c>
    </row>
    <row r="14" spans="1:4" x14ac:dyDescent="0.35">
      <c r="A14" s="5">
        <v>13</v>
      </c>
      <c r="B14" s="11" t="s">
        <v>73</v>
      </c>
      <c r="C14" s="5">
        <v>1</v>
      </c>
      <c r="D14" s="15" t="s">
        <v>91</v>
      </c>
    </row>
    <row r="15" spans="1:4" x14ac:dyDescent="0.35">
      <c r="A15" s="5">
        <v>14</v>
      </c>
      <c r="B15" s="11" t="s">
        <v>74</v>
      </c>
      <c r="C15" s="5">
        <v>1</v>
      </c>
      <c r="D15" s="15" t="s">
        <v>92</v>
      </c>
    </row>
    <row r="16" spans="1:4" x14ac:dyDescent="0.35">
      <c r="A16" s="5">
        <v>15</v>
      </c>
      <c r="B16" s="11" t="s">
        <v>75</v>
      </c>
      <c r="C16" s="5">
        <v>4</v>
      </c>
      <c r="D16" s="15"/>
    </row>
    <row r="17" spans="1:4" x14ac:dyDescent="0.35">
      <c r="A17" s="5">
        <v>17</v>
      </c>
      <c r="B17" s="11" t="s">
        <v>76</v>
      </c>
      <c r="C17" s="5">
        <v>1</v>
      </c>
      <c r="D17" s="15"/>
    </row>
    <row r="18" spans="1:4" x14ac:dyDescent="0.35">
      <c r="A18" s="5">
        <v>18</v>
      </c>
      <c r="B18" s="11" t="s">
        <v>77</v>
      </c>
      <c r="C18" s="5">
        <v>1</v>
      </c>
      <c r="D18" s="15"/>
    </row>
    <row r="19" spans="1:4" x14ac:dyDescent="0.35">
      <c r="A19" s="1"/>
    </row>
    <row r="20" spans="1:4" x14ac:dyDescent="0.35">
      <c r="A20" s="1"/>
    </row>
    <row r="21" spans="1:4" x14ac:dyDescent="0.35">
      <c r="A21" s="1"/>
    </row>
    <row r="22" spans="1:4" x14ac:dyDescent="0.35">
      <c r="A22" s="1"/>
    </row>
    <row r="23" spans="1:4" x14ac:dyDescent="0.35">
      <c r="A23" s="1"/>
    </row>
    <row r="24" spans="1:4" x14ac:dyDescent="0.35">
      <c r="A24" s="1"/>
    </row>
    <row r="25" spans="1:4" x14ac:dyDescent="0.35">
      <c r="A25" s="1"/>
    </row>
    <row r="26" spans="1:4" x14ac:dyDescent="0.35">
      <c r="A26" s="1"/>
    </row>
    <row r="27" spans="1:4" x14ac:dyDescent="0.35">
      <c r="A27" s="1"/>
    </row>
    <row r="28" spans="1:4" x14ac:dyDescent="0.35">
      <c r="A28" s="1"/>
    </row>
    <row r="29" spans="1:4" x14ac:dyDescent="0.35">
      <c r="A29" s="1"/>
    </row>
    <row r="30" spans="1:4" x14ac:dyDescent="0.35">
      <c r="A30" s="1"/>
    </row>
    <row r="31" spans="1:4" x14ac:dyDescent="0.35">
      <c r="A31" s="1"/>
    </row>
    <row r="32" spans="1:4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V</dc:creator>
  <cp:lastModifiedBy>Venkatesan V</cp:lastModifiedBy>
  <dcterms:created xsi:type="dcterms:W3CDTF">2026-04-17T13:37:41Z</dcterms:created>
  <dcterms:modified xsi:type="dcterms:W3CDTF">2026-07-21T12:35:17Z</dcterms:modified>
</cp:coreProperties>
</file>